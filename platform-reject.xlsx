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F:\0-TMPHOTO\StoRpt\"/>
    </mc:Choice>
  </mc:AlternateContent>
  <xr:revisionPtr revIDLastSave="0" documentId="13_ncr:1_{84FB6781-163E-422D-A953-E219E50CC6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8" l="1"/>
  <c r="J35" i="8"/>
  <c r="H35" i="8"/>
  <c r="P35" i="8" s="1"/>
  <c r="E35" i="8"/>
  <c r="K35" i="8" s="1"/>
  <c r="O34" i="8"/>
  <c r="J34" i="8"/>
  <c r="H34" i="8"/>
  <c r="P34" i="8" s="1"/>
  <c r="E34" i="8"/>
  <c r="K34" i="8" s="1"/>
  <c r="O33" i="8"/>
  <c r="J33" i="8"/>
  <c r="H33" i="8"/>
  <c r="P33" i="8" s="1"/>
  <c r="E33" i="8"/>
  <c r="K33" i="8" s="1"/>
  <c r="O32" i="8"/>
  <c r="J32" i="8"/>
  <c r="H32" i="8"/>
  <c r="P32" i="8" s="1"/>
  <c r="E32" i="8"/>
  <c r="K32" i="8" s="1"/>
  <c r="O31" i="8"/>
  <c r="J31" i="8"/>
  <c r="H31" i="8"/>
  <c r="P31" i="8" s="1"/>
  <c r="E31" i="8"/>
  <c r="K31" i="8" s="1"/>
  <c r="O30" i="8"/>
  <c r="J30" i="8"/>
  <c r="H30" i="8"/>
  <c r="P30" i="8" s="1"/>
  <c r="E30" i="8"/>
  <c r="K30" i="8" s="1"/>
  <c r="O26" i="8"/>
  <c r="J26" i="8"/>
  <c r="H26" i="8"/>
  <c r="P26" i="8" s="1"/>
  <c r="E26" i="8"/>
  <c r="K26" i="8" s="1"/>
  <c r="O25" i="8"/>
  <c r="J25" i="8"/>
  <c r="H25" i="8"/>
  <c r="P25" i="8" s="1"/>
  <c r="E25" i="8"/>
  <c r="K25" i="8" s="1"/>
  <c r="O24" i="8"/>
  <c r="J24" i="8"/>
  <c r="H24" i="8"/>
  <c r="P24" i="8" s="1"/>
  <c r="E24" i="8"/>
  <c r="K24" i="8" s="1"/>
  <c r="O23" i="8"/>
  <c r="J23" i="8"/>
  <c r="H23" i="8"/>
  <c r="P23" i="8" s="1"/>
  <c r="E23" i="8"/>
  <c r="K23" i="8" s="1"/>
  <c r="O22" i="8"/>
  <c r="J22" i="8"/>
  <c r="H22" i="8"/>
  <c r="P22" i="8" s="1"/>
  <c r="E22" i="8"/>
  <c r="K22" i="8" s="1"/>
  <c r="O21" i="8"/>
  <c r="J21" i="8"/>
  <c r="H21" i="8"/>
  <c r="P21" i="8" s="1"/>
  <c r="E21" i="8"/>
  <c r="K21" i="8" s="1"/>
  <c r="O17" i="8"/>
  <c r="J17" i="8"/>
  <c r="H17" i="8"/>
  <c r="P17" i="8" s="1"/>
  <c r="E17" i="8"/>
  <c r="K17" i="8" s="1"/>
  <c r="O16" i="8"/>
  <c r="J16" i="8"/>
  <c r="H16" i="8"/>
  <c r="P16" i="8" s="1"/>
  <c r="E16" i="8"/>
  <c r="K16" i="8" s="1"/>
  <c r="O15" i="8"/>
  <c r="J15" i="8"/>
  <c r="H15" i="8"/>
  <c r="P15" i="8" s="1"/>
  <c r="E15" i="8"/>
  <c r="K15" i="8" s="1"/>
  <c r="O14" i="8"/>
  <c r="J14" i="8"/>
  <c r="H14" i="8"/>
  <c r="P14" i="8" s="1"/>
  <c r="E14" i="8"/>
  <c r="K14" i="8" s="1"/>
  <c r="O13" i="8"/>
  <c r="J13" i="8"/>
  <c r="H13" i="8"/>
  <c r="P13" i="8" s="1"/>
  <c r="E13" i="8"/>
  <c r="K13" i="8" s="1"/>
  <c r="O12" i="8"/>
  <c r="J12" i="8"/>
  <c r="H12" i="8"/>
  <c r="P12" i="8" s="1"/>
  <c r="E12" i="8"/>
  <c r="K12" i="8" s="1"/>
  <c r="O8" i="8"/>
  <c r="J8" i="8"/>
  <c r="H8" i="8"/>
  <c r="P8" i="8" s="1"/>
  <c r="E8" i="8"/>
  <c r="K8" i="8" s="1"/>
  <c r="O7" i="8"/>
  <c r="J7" i="8"/>
  <c r="H7" i="8"/>
  <c r="P7" i="8" s="1"/>
  <c r="E7" i="8"/>
  <c r="K7" i="8" s="1"/>
  <c r="O6" i="8"/>
  <c r="J6" i="8"/>
  <c r="H6" i="8"/>
  <c r="P6" i="8" s="1"/>
  <c r="E6" i="8"/>
  <c r="K6" i="8" s="1"/>
  <c r="O5" i="8"/>
  <c r="J5" i="8"/>
  <c r="H5" i="8"/>
  <c r="P5" i="8" s="1"/>
  <c r="E5" i="8"/>
  <c r="K5" i="8" s="1"/>
  <c r="O4" i="8"/>
  <c r="J4" i="8"/>
  <c r="H4" i="8"/>
  <c r="P4" i="8" s="1"/>
  <c r="E4" i="8"/>
  <c r="K4" i="8" s="1"/>
  <c r="O3" i="8"/>
  <c r="J3" i="8"/>
  <c r="H3" i="8"/>
  <c r="P3" i="8" s="1"/>
  <c r="E3" i="8"/>
  <c r="K3" i="8" s="1"/>
  <c r="R3" i="8" l="1"/>
  <c r="L12" i="8"/>
  <c r="Q12" i="8"/>
  <c r="Q3" i="8"/>
  <c r="S3" i="8" s="1"/>
  <c r="L21" i="8"/>
  <c r="M12" i="8"/>
  <c r="N12" i="8" s="1"/>
  <c r="M30" i="8"/>
  <c r="R12" i="8"/>
  <c r="S12" i="8" s="1"/>
  <c r="L30" i="8"/>
  <c r="L3" i="8"/>
  <c r="M3" i="8"/>
  <c r="M21" i="8"/>
  <c r="R30" i="8"/>
  <c r="R21" i="8"/>
  <c r="Q30" i="8"/>
  <c r="Q21" i="8"/>
  <c r="S30" i="8" l="1"/>
  <c r="N30" i="8"/>
  <c r="N21" i="8"/>
  <c r="N3" i="8"/>
  <c r="S21" i="8"/>
</calcChain>
</file>

<file path=xl/sharedStrings.xml><?xml version="1.0" encoding="utf-8"?>
<sst xmlns="http://schemas.openxmlformats.org/spreadsheetml/2006/main" count="128" uniqueCount="69">
  <si>
    <t>2026.01.05 - 2026.01.09</t>
  </si>
  <si>
    <t>股票代码</t>
  </si>
  <si>
    <t>股票名称</t>
  </si>
  <si>
    <t>理想进价</t>
  </si>
  <si>
    <t>理想出价</t>
  </si>
  <si>
    <t>理想周差</t>
  </si>
  <si>
    <t>开始价格</t>
  </si>
  <si>
    <t>结束价格</t>
  </si>
  <si>
    <t>周差价</t>
  </si>
  <si>
    <t>实际买股</t>
  </si>
  <si>
    <t>周理想投入</t>
  </si>
  <si>
    <t>周理想收益</t>
  </si>
  <si>
    <t>周理想总投入</t>
  </si>
  <si>
    <t>理想总收益</t>
  </si>
  <si>
    <t>理想收益率</t>
  </si>
  <si>
    <t>周实际投入</t>
  </si>
  <si>
    <t>周实际收益</t>
  </si>
  <si>
    <t>周总投入</t>
  </si>
  <si>
    <t>周实际总收益</t>
  </si>
  <si>
    <t>周收益率</t>
  </si>
  <si>
    <t>603709</t>
  </si>
  <si>
    <t>中源家具</t>
  </si>
  <si>
    <t>300929</t>
  </si>
  <si>
    <t>华骐环保</t>
  </si>
  <si>
    <t>002144</t>
  </si>
  <si>
    <t>宏达高科</t>
  </si>
  <si>
    <t>002690</t>
  </si>
  <si>
    <t>美亚光电</t>
  </si>
  <si>
    <t>600125</t>
  </si>
  <si>
    <t>铁龙物流</t>
  </si>
  <si>
    <t>600269</t>
  </si>
  <si>
    <t>赣粤高速</t>
  </si>
  <si>
    <t>2026.01.12 - 2026.01.16</t>
  </si>
  <si>
    <t>300670</t>
  </si>
  <si>
    <t>大烨智能</t>
  </si>
  <si>
    <t>603880</t>
  </si>
  <si>
    <t>南卫股份</t>
  </si>
  <si>
    <t>603958</t>
  </si>
  <si>
    <t>哈森股份</t>
  </si>
  <si>
    <t>605567</t>
  </si>
  <si>
    <t>春雪食品</t>
  </si>
  <si>
    <t>603909</t>
  </si>
  <si>
    <t>建发合诚</t>
  </si>
  <si>
    <t>600665</t>
  </si>
  <si>
    <t>天地源</t>
  </si>
  <si>
    <t>2026.01.19 - 2026.01.23</t>
  </si>
  <si>
    <t>600883</t>
  </si>
  <si>
    <t>博闻科技</t>
  </si>
  <si>
    <t>301113</t>
  </si>
  <si>
    <t>雅艺科技</t>
  </si>
  <si>
    <t>605177</t>
  </si>
  <si>
    <t>东亚药业</t>
  </si>
  <si>
    <t>601298</t>
  </si>
  <si>
    <t>青岛港</t>
  </si>
  <si>
    <t>601107</t>
  </si>
  <si>
    <t>四川成渝</t>
  </si>
  <si>
    <t>600098</t>
  </si>
  <si>
    <t>广州发展</t>
  </si>
  <si>
    <t>603272</t>
  </si>
  <si>
    <t>联翔股份</t>
  </si>
  <si>
    <t>603208</t>
  </si>
  <si>
    <t>江山欧派</t>
  </si>
  <si>
    <t>301182</t>
  </si>
  <si>
    <t>凯旺科技</t>
  </si>
  <si>
    <t>002293</t>
  </si>
  <si>
    <t>罗莱生活</t>
  </si>
  <si>
    <t>002216</t>
  </si>
  <si>
    <t>三全食品</t>
  </si>
  <si>
    <t>www.baidu.com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</si>
</sst>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topLeftCell="A13" workbookViewId="0">
      <selection activeCell="M39" sqref="M39"/>
    </sheetView>
  </sheetViews>
  <sheetFormatPr defaultColWidth="9" defaultRowHeight="14.25" x14ac:dyDescent="0.2"/>
  <cols>
    <col min="10" max="11" width="11" customWidth="1"/>
    <col min="12" max="12" width="9.75" customWidth="1"/>
    <col min="13" max="13" width="9.25" customWidth="1"/>
    <col min="14" max="16" width="11" customWidth="1"/>
    <col min="18" max="18" width="13" customWidth="1"/>
  </cols>
  <sheetData>
    <row r="1" spans="1:19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x14ac:dyDescent="0.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2">
      <c r="A3" s="4" t="s">
        <v>20</v>
      </c>
      <c r="B3" s="5" t="s">
        <v>21</v>
      </c>
      <c r="C3" s="5">
        <v>16.39</v>
      </c>
      <c r="D3" s="5">
        <v>16.97</v>
      </c>
      <c r="E3" s="5">
        <f>D3-C3</f>
        <v>0.57999999999999829</v>
      </c>
      <c r="F3" s="5">
        <v>16.41</v>
      </c>
      <c r="G3" s="5">
        <v>16.96</v>
      </c>
      <c r="H3" s="5">
        <f>G3-F3</f>
        <v>0.55000000000000071</v>
      </c>
      <c r="I3" s="5">
        <v>600</v>
      </c>
      <c r="J3" s="5">
        <f t="shared" ref="J3:J8" si="0">C3*I3</f>
        <v>9834</v>
      </c>
      <c r="K3" s="5">
        <f>E3*I3</f>
        <v>347.99999999999898</v>
      </c>
      <c r="L3" s="5">
        <f>SUM(J3:J8)</f>
        <v>61818</v>
      </c>
      <c r="M3" s="5">
        <f>SUM(K3:K8)</f>
        <v>1164.9999999999995</v>
      </c>
      <c r="N3" s="6">
        <f>M3/L3</f>
        <v>1.8845643663657825E-2</v>
      </c>
      <c r="O3" s="5">
        <f>F3*I3</f>
        <v>9846</v>
      </c>
      <c r="P3" s="5">
        <f>H3*I3</f>
        <v>330.00000000000045</v>
      </c>
      <c r="Q3" s="5">
        <f>SUM(O3:O8)</f>
        <v>61956</v>
      </c>
      <c r="R3" s="5">
        <f>SUM(P3:P8)</f>
        <v>918.00000000000136</v>
      </c>
      <c r="S3" s="6">
        <f>R3/Q3</f>
        <v>1.4816966879721115E-2</v>
      </c>
    </row>
    <row r="4" spans="1:19" x14ac:dyDescent="0.2">
      <c r="A4" s="4" t="s">
        <v>22</v>
      </c>
      <c r="B4" s="5" t="s">
        <v>23</v>
      </c>
      <c r="C4" s="5">
        <v>10.76</v>
      </c>
      <c r="D4" s="5">
        <v>11.07</v>
      </c>
      <c r="E4" s="5">
        <f t="shared" ref="E4:E8" si="1">D4-C4</f>
        <v>0.3100000000000005</v>
      </c>
      <c r="F4" s="5">
        <v>10.8</v>
      </c>
      <c r="G4" s="5">
        <v>11.053000000000001</v>
      </c>
      <c r="H4" s="5">
        <f t="shared" ref="H4:H8" si="2">G4-F4</f>
        <v>0.25300000000000011</v>
      </c>
      <c r="I4" s="5">
        <v>1000</v>
      </c>
      <c r="J4" s="5">
        <f t="shared" si="0"/>
        <v>10760</v>
      </c>
      <c r="K4" s="5">
        <f>E4*I4</f>
        <v>310.00000000000051</v>
      </c>
      <c r="L4" s="5"/>
      <c r="M4" s="5"/>
      <c r="N4" s="5"/>
      <c r="O4" s="5">
        <f t="shared" ref="O4:O8" si="3">F4*I4</f>
        <v>10800</v>
      </c>
      <c r="P4" s="5">
        <f t="shared" ref="P4:P8" si="4">H4*I4</f>
        <v>253.00000000000011</v>
      </c>
      <c r="Q4" s="5"/>
    </row>
    <row r="5" spans="1:19" x14ac:dyDescent="0.2">
      <c r="A5" s="4" t="s">
        <v>24</v>
      </c>
      <c r="B5" s="5" t="s">
        <v>25</v>
      </c>
      <c r="C5" s="5">
        <v>12.68</v>
      </c>
      <c r="D5" s="5">
        <v>12.9</v>
      </c>
      <c r="E5" s="5">
        <f t="shared" si="1"/>
        <v>0.22000000000000064</v>
      </c>
      <c r="F5" s="5">
        <v>12.73</v>
      </c>
      <c r="G5" s="5">
        <v>12.83</v>
      </c>
      <c r="H5" s="5">
        <f t="shared" si="2"/>
        <v>9.9999999999999645E-2</v>
      </c>
      <c r="I5" s="5">
        <v>800</v>
      </c>
      <c r="J5" s="5">
        <f t="shared" si="0"/>
        <v>10144</v>
      </c>
      <c r="K5" s="5">
        <f>E5*I5</f>
        <v>176.00000000000051</v>
      </c>
      <c r="L5" s="5"/>
      <c r="M5" s="5"/>
      <c r="N5" s="5"/>
      <c r="O5" s="5">
        <f t="shared" si="3"/>
        <v>10184</v>
      </c>
      <c r="P5" s="5">
        <f t="shared" si="4"/>
        <v>79.999999999999716</v>
      </c>
      <c r="Q5" s="5"/>
    </row>
    <row r="6" spans="1:19" x14ac:dyDescent="0.2">
      <c r="A6" s="4" t="s">
        <v>26</v>
      </c>
      <c r="B6" s="5" t="s">
        <v>27</v>
      </c>
      <c r="C6" s="5">
        <v>20.64</v>
      </c>
      <c r="D6" s="5">
        <v>21.47</v>
      </c>
      <c r="E6" s="5">
        <f t="shared" si="1"/>
        <v>0.82999999999999829</v>
      </c>
      <c r="F6" s="5">
        <v>20.7</v>
      </c>
      <c r="G6" s="5">
        <v>21.41</v>
      </c>
      <c r="H6" s="5">
        <f t="shared" si="2"/>
        <v>0.71000000000000085</v>
      </c>
      <c r="I6" s="5">
        <v>500</v>
      </c>
      <c r="J6" s="5">
        <f t="shared" si="0"/>
        <v>10320</v>
      </c>
      <c r="K6" s="5">
        <f>E6*I6</f>
        <v>414.99999999999915</v>
      </c>
      <c r="L6" s="5"/>
      <c r="M6" s="5"/>
      <c r="N6" s="5"/>
      <c r="O6" s="5">
        <f t="shared" si="3"/>
        <v>10350</v>
      </c>
      <c r="P6" s="5">
        <f t="shared" si="4"/>
        <v>355.00000000000045</v>
      </c>
      <c r="Q6" s="5"/>
    </row>
    <row r="7" spans="1:19" x14ac:dyDescent="0.2">
      <c r="A7" s="4" t="s">
        <v>28</v>
      </c>
      <c r="B7" s="5" t="s">
        <v>29</v>
      </c>
      <c r="C7" s="5">
        <v>6.45</v>
      </c>
      <c r="D7" s="5">
        <v>6.41</v>
      </c>
      <c r="E7" s="5">
        <f t="shared" si="1"/>
        <v>-4.0000000000000036E-2</v>
      </c>
      <c r="F7" s="5">
        <v>6.46</v>
      </c>
      <c r="G7" s="5">
        <v>6.41</v>
      </c>
      <c r="H7" s="5">
        <f t="shared" si="2"/>
        <v>-4.9999999999999822E-2</v>
      </c>
      <c r="I7" s="5">
        <v>1600</v>
      </c>
      <c r="J7" s="5">
        <f t="shared" si="0"/>
        <v>10320</v>
      </c>
      <c r="K7" s="5">
        <f>E7*I7</f>
        <v>-64.000000000000057</v>
      </c>
      <c r="L7" s="5"/>
      <c r="M7" s="5"/>
      <c r="N7" s="5"/>
      <c r="O7" s="5">
        <f t="shared" si="3"/>
        <v>10336</v>
      </c>
      <c r="P7" s="5">
        <f t="shared" si="4"/>
        <v>-79.999999999999716</v>
      </c>
      <c r="Q7" s="5"/>
    </row>
    <row r="8" spans="1:19" x14ac:dyDescent="0.2">
      <c r="A8" s="4" t="s">
        <v>30</v>
      </c>
      <c r="B8" s="5" t="s">
        <v>31</v>
      </c>
      <c r="C8" s="5">
        <v>5.22</v>
      </c>
      <c r="D8" s="5">
        <v>5.21</v>
      </c>
      <c r="E8" s="5">
        <f t="shared" si="1"/>
        <v>-9.9999999999997868E-3</v>
      </c>
      <c r="F8" s="5">
        <v>5.22</v>
      </c>
      <c r="G8" s="5">
        <v>5.21</v>
      </c>
      <c r="H8" s="5">
        <f t="shared" si="2"/>
        <v>-9.9999999999997868E-3</v>
      </c>
      <c r="I8" s="5">
        <v>2000</v>
      </c>
      <c r="J8" s="5">
        <f t="shared" si="0"/>
        <v>10440</v>
      </c>
      <c r="K8" s="5">
        <f t="shared" ref="K8" si="5">E8*I8</f>
        <v>-19.999999999999574</v>
      </c>
      <c r="L8" s="5"/>
      <c r="M8" s="5"/>
      <c r="N8" s="5"/>
      <c r="O8" s="5">
        <f t="shared" si="3"/>
        <v>10440</v>
      </c>
      <c r="P8" s="5">
        <f t="shared" si="4"/>
        <v>-19.999999999999574</v>
      </c>
      <c r="Q8" s="5"/>
    </row>
    <row r="10" spans="1:19" x14ac:dyDescent="0.2">
      <c r="A10" s="7" t="s">
        <v>32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">
      <c r="A11" s="1" t="s">
        <v>1</v>
      </c>
      <c r="B11" s="1" t="s">
        <v>2</v>
      </c>
      <c r="C11" s="2" t="s">
        <v>3</v>
      </c>
      <c r="D11" s="2" t="s">
        <v>4</v>
      </c>
      <c r="E11" s="2" t="s">
        <v>5</v>
      </c>
      <c r="F11" s="3" t="s">
        <v>6</v>
      </c>
      <c r="G11" s="3" t="s">
        <v>7</v>
      </c>
      <c r="H11" s="3" t="s">
        <v>8</v>
      </c>
      <c r="I11" s="1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</row>
    <row r="12" spans="1:19" x14ac:dyDescent="0.2">
      <c r="A12" s="4" t="s">
        <v>33</v>
      </c>
      <c r="B12" s="5" t="s">
        <v>34</v>
      </c>
      <c r="C12" s="5">
        <v>7</v>
      </c>
      <c r="D12" s="5">
        <v>6.85</v>
      </c>
      <c r="E12" s="5">
        <f>D12-C12</f>
        <v>-0.15000000000000036</v>
      </c>
      <c r="F12" s="5">
        <v>7</v>
      </c>
      <c r="G12" s="5">
        <v>6.86</v>
      </c>
      <c r="H12" s="5">
        <f>G12-F12</f>
        <v>-0.13999999999999968</v>
      </c>
      <c r="I12" s="5">
        <v>1500</v>
      </c>
      <c r="J12" s="5">
        <f t="shared" ref="J12:J17" si="6">C12*I12</f>
        <v>10500</v>
      </c>
      <c r="K12" s="5">
        <f>E12*I12</f>
        <v>-225.00000000000054</v>
      </c>
      <c r="L12" s="5">
        <f>SUM(J12:J17)</f>
        <v>62579</v>
      </c>
      <c r="M12" s="5">
        <f>SUM(K12:K17)</f>
        <v>-869.00000000000034</v>
      </c>
      <c r="N12" s="6">
        <f>M12/L12</f>
        <v>-1.3886447530321679E-2</v>
      </c>
      <c r="O12" s="5">
        <f>F12*I12</f>
        <v>10500</v>
      </c>
      <c r="P12" s="5">
        <f>H12*I12</f>
        <v>-209.99999999999952</v>
      </c>
      <c r="Q12" s="5">
        <f>SUM(O12:O17)</f>
        <v>62509</v>
      </c>
      <c r="R12" s="5">
        <f>SUM(P12:P17)</f>
        <v>-849.99999999999932</v>
      </c>
      <c r="S12" s="6">
        <f>R12/Q12</f>
        <v>-1.3598041881968986E-2</v>
      </c>
    </row>
    <row r="13" spans="1:19" x14ac:dyDescent="0.2">
      <c r="A13" s="4" t="s">
        <v>35</v>
      </c>
      <c r="B13" s="5" t="s">
        <v>36</v>
      </c>
      <c r="C13" s="5">
        <v>6.28</v>
      </c>
      <c r="D13" s="5">
        <v>6.14</v>
      </c>
      <c r="E13" s="5">
        <f t="shared" ref="E13:E17" si="7">D13-C13</f>
        <v>-0.14000000000000057</v>
      </c>
      <c r="F13" s="5">
        <v>6.31</v>
      </c>
      <c r="G13" s="5">
        <v>6.14</v>
      </c>
      <c r="H13" s="5">
        <f t="shared" ref="H13:H17" si="8">G13-F13</f>
        <v>-0.16999999999999993</v>
      </c>
      <c r="I13" s="5">
        <v>1700</v>
      </c>
      <c r="J13" s="5">
        <f t="shared" si="6"/>
        <v>10676</v>
      </c>
      <c r="K13" s="5">
        <f>E13*I13</f>
        <v>-238.00000000000097</v>
      </c>
      <c r="L13" s="5"/>
      <c r="M13" s="5"/>
      <c r="N13" s="5"/>
      <c r="O13" s="5">
        <f t="shared" ref="O13:O17" si="9">F13*I13</f>
        <v>10727</v>
      </c>
      <c r="P13" s="5">
        <f t="shared" ref="P13:P17" si="10">H13*I13</f>
        <v>-288.99999999999989</v>
      </c>
      <c r="Q13" s="5"/>
    </row>
    <row r="14" spans="1:19" x14ac:dyDescent="0.2">
      <c r="A14" s="4" t="s">
        <v>37</v>
      </c>
      <c r="B14" s="5" t="s">
        <v>38</v>
      </c>
      <c r="C14" s="5">
        <v>13.35</v>
      </c>
      <c r="D14" s="5">
        <v>13.14</v>
      </c>
      <c r="E14" s="5">
        <f t="shared" si="7"/>
        <v>-0.20999999999999908</v>
      </c>
      <c r="F14" s="5">
        <v>13.35</v>
      </c>
      <c r="G14" s="5">
        <v>13.13</v>
      </c>
      <c r="H14" s="5">
        <f t="shared" si="8"/>
        <v>-0.21999999999999886</v>
      </c>
      <c r="I14" s="5">
        <v>800</v>
      </c>
      <c r="J14" s="5">
        <f t="shared" si="6"/>
        <v>10680</v>
      </c>
      <c r="K14" s="5">
        <f>E14*I14</f>
        <v>-167.99999999999926</v>
      </c>
      <c r="L14" s="5"/>
      <c r="M14" s="5"/>
      <c r="N14" s="5"/>
      <c r="O14" s="5">
        <f t="shared" si="9"/>
        <v>10680</v>
      </c>
      <c r="P14" s="5">
        <f t="shared" si="10"/>
        <v>-175.99999999999909</v>
      </c>
      <c r="Q14" s="5"/>
    </row>
    <row r="15" spans="1:19" x14ac:dyDescent="0.2">
      <c r="A15" s="4" t="s">
        <v>39</v>
      </c>
      <c r="B15" s="5" t="s">
        <v>40</v>
      </c>
      <c r="C15" s="5">
        <v>11.19</v>
      </c>
      <c r="D15" s="5">
        <v>11.12</v>
      </c>
      <c r="E15" s="5">
        <f t="shared" si="7"/>
        <v>-7.0000000000000284E-2</v>
      </c>
      <c r="F15" s="5">
        <v>11.08</v>
      </c>
      <c r="G15" s="5">
        <v>11.1</v>
      </c>
      <c r="H15" s="5">
        <f t="shared" si="8"/>
        <v>1.9999999999999574E-2</v>
      </c>
      <c r="I15" s="5">
        <v>900</v>
      </c>
      <c r="J15" s="5">
        <f t="shared" si="6"/>
        <v>10071</v>
      </c>
      <c r="K15" s="5">
        <f>E15*I15</f>
        <v>-63.000000000000256</v>
      </c>
      <c r="L15" s="5"/>
      <c r="M15" s="5"/>
      <c r="N15" s="5"/>
      <c r="O15" s="5">
        <f t="shared" si="9"/>
        <v>9972</v>
      </c>
      <c r="P15" s="5">
        <f t="shared" si="10"/>
        <v>17.999999999999616</v>
      </c>
      <c r="Q15" s="5"/>
    </row>
    <row r="16" spans="1:19" x14ac:dyDescent="0.2">
      <c r="A16" s="4" t="s">
        <v>41</v>
      </c>
      <c r="B16" s="5" t="s">
        <v>42</v>
      </c>
      <c r="C16" s="5">
        <v>11.58</v>
      </c>
      <c r="D16" s="5">
        <v>11.42</v>
      </c>
      <c r="E16" s="5">
        <f t="shared" si="7"/>
        <v>-0.16000000000000014</v>
      </c>
      <c r="F16" s="5">
        <v>11.59</v>
      </c>
      <c r="G16" s="5">
        <v>11.41</v>
      </c>
      <c r="H16" s="5">
        <f t="shared" si="8"/>
        <v>-0.17999999999999972</v>
      </c>
      <c r="I16" s="5">
        <v>900</v>
      </c>
      <c r="J16" s="5">
        <f t="shared" si="6"/>
        <v>10422</v>
      </c>
      <c r="K16" s="5">
        <f>E16*I16</f>
        <v>-144.00000000000011</v>
      </c>
      <c r="L16" s="5"/>
      <c r="M16" s="5"/>
      <c r="N16" s="5"/>
      <c r="O16" s="5">
        <f t="shared" si="9"/>
        <v>10431</v>
      </c>
      <c r="P16" s="5">
        <f t="shared" si="10"/>
        <v>-161.99999999999974</v>
      </c>
      <c r="Q16" s="5"/>
    </row>
    <row r="17" spans="1:19" x14ac:dyDescent="0.2">
      <c r="A17" s="4" t="s">
        <v>43</v>
      </c>
      <c r="B17" s="5" t="s">
        <v>44</v>
      </c>
      <c r="C17" s="5">
        <v>3.3</v>
      </c>
      <c r="D17" s="5">
        <v>3.29</v>
      </c>
      <c r="E17" s="5">
        <f t="shared" si="7"/>
        <v>-9.9999999999997868E-3</v>
      </c>
      <c r="F17" s="5">
        <v>3.29</v>
      </c>
      <c r="G17" s="5">
        <v>3.28</v>
      </c>
      <c r="H17" s="5">
        <f t="shared" si="8"/>
        <v>-1.0000000000000231E-2</v>
      </c>
      <c r="I17" s="5">
        <v>3100</v>
      </c>
      <c r="J17" s="5">
        <f t="shared" si="6"/>
        <v>10230</v>
      </c>
      <c r="K17" s="5">
        <f t="shared" ref="K17" si="11">E17*I17</f>
        <v>-30.999999999999339</v>
      </c>
      <c r="L17" s="5"/>
      <c r="M17" s="5"/>
      <c r="N17" s="5"/>
      <c r="O17" s="5">
        <f t="shared" si="9"/>
        <v>10199</v>
      </c>
      <c r="P17" s="5">
        <f t="shared" si="10"/>
        <v>-31.000000000000718</v>
      </c>
      <c r="Q17" s="5"/>
    </row>
    <row r="19" spans="1:19" x14ac:dyDescent="0.2">
      <c r="A19" s="7" t="s">
        <v>45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2">
      <c r="A20" s="1" t="s">
        <v>1</v>
      </c>
      <c r="B20" s="1" t="s">
        <v>2</v>
      </c>
      <c r="C20" s="2" t="s">
        <v>3</v>
      </c>
      <c r="D20" s="2" t="s">
        <v>4</v>
      </c>
      <c r="E20" s="2" t="s">
        <v>5</v>
      </c>
      <c r="F20" s="3" t="s">
        <v>6</v>
      </c>
      <c r="G20" s="3" t="s">
        <v>7</v>
      </c>
      <c r="H20" s="3" t="s">
        <v>8</v>
      </c>
      <c r="I20" s="1" t="s">
        <v>9</v>
      </c>
      <c r="J20" s="2" t="s">
        <v>10</v>
      </c>
      <c r="K20" s="2" t="s">
        <v>11</v>
      </c>
      <c r="L20" s="2" t="s">
        <v>12</v>
      </c>
      <c r="M20" s="2" t="s">
        <v>13</v>
      </c>
      <c r="N20" s="2" t="s">
        <v>14</v>
      </c>
      <c r="O20" s="3" t="s">
        <v>15</v>
      </c>
      <c r="P20" s="3" t="s">
        <v>16</v>
      </c>
      <c r="Q20" s="3" t="s">
        <v>17</v>
      </c>
      <c r="R20" s="3" t="s">
        <v>18</v>
      </c>
      <c r="S20" s="3" t="s">
        <v>19</v>
      </c>
    </row>
    <row r="21" spans="1:19" x14ac:dyDescent="0.2">
      <c r="A21" s="4" t="s">
        <v>46</v>
      </c>
      <c r="B21" s="5" t="s">
        <v>47</v>
      </c>
      <c r="C21" s="5">
        <v>8.0399999999999991</v>
      </c>
      <c r="D21" s="5">
        <v>8.52</v>
      </c>
      <c r="E21" s="5">
        <f>D21-C21</f>
        <v>0.48000000000000043</v>
      </c>
      <c r="F21" s="5">
        <v>8.0500000000000007</v>
      </c>
      <c r="G21" s="5">
        <v>8.52</v>
      </c>
      <c r="H21" s="5">
        <f>G21-F21</f>
        <v>0.46999999999999886</v>
      </c>
      <c r="I21" s="5">
        <v>1300</v>
      </c>
      <c r="J21" s="5">
        <f t="shared" ref="J21:J26" si="12">C21*I21</f>
        <v>10451.999999999998</v>
      </c>
      <c r="K21" s="5">
        <f>E21*I21</f>
        <v>624.00000000000057</v>
      </c>
      <c r="L21" s="5">
        <f>SUM(J21:J26)</f>
        <v>62520</v>
      </c>
      <c r="M21" s="5">
        <f>SUM(K21:K26)</f>
        <v>3065.9999999999982</v>
      </c>
      <c r="N21" s="6">
        <f>M21/L21</f>
        <v>4.9040307101727416E-2</v>
      </c>
      <c r="O21" s="5">
        <f>F21*I21</f>
        <v>10465.000000000002</v>
      </c>
      <c r="P21" s="5">
        <f>H21*I21</f>
        <v>610.99999999999852</v>
      </c>
      <c r="Q21" s="5">
        <f>SUM(O21:O26)</f>
        <v>62521</v>
      </c>
      <c r="R21" s="5">
        <f>SUM(P21:P26)</f>
        <v>2924.9999999999964</v>
      </c>
      <c r="S21" s="6">
        <f>R21/Q21</f>
        <v>4.6784280481758068E-2</v>
      </c>
    </row>
    <row r="22" spans="1:19" x14ac:dyDescent="0.2">
      <c r="A22" s="4" t="s">
        <v>48</v>
      </c>
      <c r="B22" s="5" t="s">
        <v>49</v>
      </c>
      <c r="C22" s="5">
        <v>25.2</v>
      </c>
      <c r="D22" s="5">
        <v>26.06</v>
      </c>
      <c r="E22" s="5">
        <f t="shared" ref="E22:E26" si="13">D22-C22</f>
        <v>0.85999999999999943</v>
      </c>
      <c r="F22" s="5">
        <v>25.3</v>
      </c>
      <c r="G22" s="5">
        <v>26</v>
      </c>
      <c r="H22" s="5">
        <f t="shared" ref="H22:H26" si="14">G22-F22</f>
        <v>0.69999999999999929</v>
      </c>
      <c r="I22" s="5">
        <v>400</v>
      </c>
      <c r="J22" s="5">
        <f t="shared" si="12"/>
        <v>10080</v>
      </c>
      <c r="K22" s="5">
        <f>E22*I22</f>
        <v>343.99999999999977</v>
      </c>
      <c r="L22" s="5"/>
      <c r="M22" s="5"/>
      <c r="N22" s="5"/>
      <c r="O22" s="5">
        <f t="shared" ref="O22:O26" si="15">F22*I22</f>
        <v>10120</v>
      </c>
      <c r="P22" s="5">
        <f t="shared" ref="P22:P26" si="16">H22*I22</f>
        <v>279.99999999999972</v>
      </c>
      <c r="Q22" s="5"/>
    </row>
    <row r="23" spans="1:19" x14ac:dyDescent="0.2">
      <c r="A23" s="4" t="s">
        <v>50</v>
      </c>
      <c r="B23" s="5" t="s">
        <v>51</v>
      </c>
      <c r="C23" s="5">
        <v>20.8</v>
      </c>
      <c r="D23" s="5">
        <v>22.83</v>
      </c>
      <c r="E23" s="5">
        <f t="shared" si="13"/>
        <v>2.0299999999999976</v>
      </c>
      <c r="F23" s="5">
        <v>20.71</v>
      </c>
      <c r="G23" s="5">
        <v>22.75</v>
      </c>
      <c r="H23" s="5">
        <f t="shared" si="14"/>
        <v>2.0399999999999991</v>
      </c>
      <c r="I23" s="5">
        <v>500</v>
      </c>
      <c r="J23" s="5">
        <f t="shared" si="12"/>
        <v>10400</v>
      </c>
      <c r="K23" s="5">
        <f>E23*I23</f>
        <v>1014.9999999999987</v>
      </c>
      <c r="L23" s="5"/>
      <c r="M23" s="5"/>
      <c r="N23" s="5"/>
      <c r="O23" s="5">
        <f t="shared" si="15"/>
        <v>10355</v>
      </c>
      <c r="P23" s="5">
        <f t="shared" si="16"/>
        <v>1019.9999999999995</v>
      </c>
      <c r="Q23" s="5"/>
    </row>
    <row r="24" spans="1:19" x14ac:dyDescent="0.2">
      <c r="A24" s="4" t="s">
        <v>52</v>
      </c>
      <c r="B24" s="5" t="s">
        <v>53</v>
      </c>
      <c r="C24" s="5">
        <v>8.32</v>
      </c>
      <c r="D24" s="5">
        <v>8.68</v>
      </c>
      <c r="E24" s="5">
        <f t="shared" si="13"/>
        <v>0.35999999999999943</v>
      </c>
      <c r="F24" s="5">
        <v>8.3000000000000007</v>
      </c>
      <c r="G24" s="5">
        <v>8.66</v>
      </c>
      <c r="H24" s="5">
        <f t="shared" si="14"/>
        <v>0.35999999999999943</v>
      </c>
      <c r="I24" s="5">
        <v>1300</v>
      </c>
      <c r="J24" s="5">
        <f t="shared" si="12"/>
        <v>10816</v>
      </c>
      <c r="K24" s="5">
        <f>E24*I24</f>
        <v>467.99999999999926</v>
      </c>
      <c r="L24" s="5"/>
      <c r="M24" s="5"/>
      <c r="N24" s="5"/>
      <c r="O24" s="5">
        <f t="shared" si="15"/>
        <v>10790.000000000002</v>
      </c>
      <c r="P24" s="5">
        <f t="shared" si="16"/>
        <v>467.99999999999926</v>
      </c>
      <c r="Q24" s="5"/>
    </row>
    <row r="25" spans="1:19" x14ac:dyDescent="0.2">
      <c r="A25" s="4" t="s">
        <v>54</v>
      </c>
      <c r="B25" s="4" t="s">
        <v>55</v>
      </c>
      <c r="C25" s="5">
        <v>5.96</v>
      </c>
      <c r="D25" s="5">
        <v>6.03</v>
      </c>
      <c r="E25" s="5">
        <f t="shared" si="13"/>
        <v>7.0000000000000284E-2</v>
      </c>
      <c r="F25" s="5">
        <v>5.99</v>
      </c>
      <c r="G25" s="5">
        <v>6.01</v>
      </c>
      <c r="H25" s="5">
        <f t="shared" si="14"/>
        <v>1.9999999999999574E-2</v>
      </c>
      <c r="I25" s="5">
        <v>1700</v>
      </c>
      <c r="J25" s="5">
        <f t="shared" si="12"/>
        <v>10132</v>
      </c>
      <c r="K25" s="5">
        <f>E25*I25</f>
        <v>119.00000000000048</v>
      </c>
      <c r="L25" s="5"/>
      <c r="M25" s="5"/>
      <c r="N25" s="5"/>
      <c r="O25" s="5">
        <f t="shared" si="15"/>
        <v>10183</v>
      </c>
      <c r="P25" s="5">
        <f t="shared" si="16"/>
        <v>33.999999999999275</v>
      </c>
      <c r="Q25" s="5"/>
    </row>
    <row r="26" spans="1:19" x14ac:dyDescent="0.2">
      <c r="A26" s="4" t="s">
        <v>56</v>
      </c>
      <c r="B26" s="5" t="s">
        <v>57</v>
      </c>
      <c r="C26" s="5">
        <v>6.65</v>
      </c>
      <c r="D26" s="5">
        <v>6.96</v>
      </c>
      <c r="E26" s="5">
        <f t="shared" si="13"/>
        <v>0.30999999999999961</v>
      </c>
      <c r="F26" s="5">
        <v>6.63</v>
      </c>
      <c r="G26" s="5">
        <v>6.95</v>
      </c>
      <c r="H26" s="5">
        <f t="shared" si="14"/>
        <v>0.32000000000000028</v>
      </c>
      <c r="I26" s="5">
        <v>1600</v>
      </c>
      <c r="J26" s="5">
        <f t="shared" si="12"/>
        <v>10640</v>
      </c>
      <c r="K26" s="5">
        <f t="shared" ref="K26" si="17">E26*I26</f>
        <v>495.99999999999937</v>
      </c>
      <c r="L26" s="5"/>
      <c r="M26" s="5"/>
      <c r="N26" s="5"/>
      <c r="O26" s="5">
        <f t="shared" si="15"/>
        <v>10608</v>
      </c>
      <c r="P26" s="5">
        <f t="shared" si="16"/>
        <v>512.00000000000045</v>
      </c>
      <c r="Q26" s="5"/>
    </row>
    <row r="28" spans="1:19" x14ac:dyDescent="0.2">
      <c r="A28" s="8" t="s">
        <v>68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">
      <c r="A29" s="1" t="s">
        <v>1</v>
      </c>
      <c r="B29" s="1" t="s">
        <v>2</v>
      </c>
      <c r="C29" s="2" t="s">
        <v>3</v>
      </c>
      <c r="D29" s="2" t="s">
        <v>4</v>
      </c>
      <c r="E29" s="2" t="s">
        <v>5</v>
      </c>
      <c r="F29" s="3" t="s">
        <v>6</v>
      </c>
      <c r="G29" s="3" t="s">
        <v>7</v>
      </c>
      <c r="H29" s="3" t="s">
        <v>8</v>
      </c>
      <c r="I29" s="1" t="s">
        <v>9</v>
      </c>
      <c r="J29" s="2" t="s">
        <v>10</v>
      </c>
      <c r="K29" s="2" t="s">
        <v>11</v>
      </c>
      <c r="L29" s="2" t="s">
        <v>12</v>
      </c>
      <c r="M29" s="2" t="s">
        <v>13</v>
      </c>
      <c r="N29" s="2" t="s">
        <v>14</v>
      </c>
      <c r="O29" s="3" t="s">
        <v>15</v>
      </c>
      <c r="P29" s="3" t="s">
        <v>16</v>
      </c>
      <c r="Q29" s="3" t="s">
        <v>17</v>
      </c>
      <c r="R29" s="3" t="s">
        <v>18</v>
      </c>
      <c r="S29" s="3" t="s">
        <v>19</v>
      </c>
    </row>
    <row r="30" spans="1:19" x14ac:dyDescent="0.2">
      <c r="A30" s="4" t="s">
        <v>58</v>
      </c>
      <c r="B30" s="5" t="s">
        <v>59</v>
      </c>
      <c r="C30" s="5">
        <v>23.04</v>
      </c>
      <c r="D30" s="5">
        <v>21.36</v>
      </c>
      <c r="E30" s="5">
        <f>D30-C30</f>
        <v>-1.6799999999999997</v>
      </c>
      <c r="F30" s="5">
        <v>22.8</v>
      </c>
      <c r="G30" s="5">
        <v>21.43</v>
      </c>
      <c r="H30" s="5">
        <f>G30-F30</f>
        <v>-1.370000000000001</v>
      </c>
      <c r="I30" s="5">
        <v>500</v>
      </c>
      <c r="J30" s="5">
        <f t="shared" ref="J30:J35" si="18">C30*I30</f>
        <v>11520</v>
      </c>
      <c r="K30" s="5">
        <f>E30*I30</f>
        <v>-839.99999999999989</v>
      </c>
      <c r="L30" s="5">
        <f>SUM(J30:J35)</f>
        <v>67980</v>
      </c>
      <c r="M30" s="5">
        <f>SUM(K30:K35)</f>
        <v>-1980.9999999999993</v>
      </c>
      <c r="N30" s="6">
        <f>M30/L30</f>
        <v>-2.9140923801117966E-2</v>
      </c>
      <c r="O30" s="5">
        <f>F30*I30</f>
        <v>11400</v>
      </c>
      <c r="P30" s="5">
        <f>H30*I30</f>
        <v>-685.00000000000045</v>
      </c>
      <c r="Q30" s="5">
        <f>SUM(O30:O35)</f>
        <v>67710</v>
      </c>
      <c r="R30" s="5">
        <f>SUM(P30:P35)</f>
        <v>-1824.9999999999977</v>
      </c>
      <c r="S30" s="6">
        <f>R30/Q30</f>
        <v>-2.6953182690887575E-2</v>
      </c>
    </row>
    <row r="31" spans="1:19" x14ac:dyDescent="0.2">
      <c r="A31" s="4" t="s">
        <v>60</v>
      </c>
      <c r="B31" s="5" t="s">
        <v>61</v>
      </c>
      <c r="C31" s="5">
        <v>15.2</v>
      </c>
      <c r="D31" s="5">
        <v>14.84</v>
      </c>
      <c r="E31" s="5">
        <f t="shared" ref="E31:E35" si="19">D31-C31</f>
        <v>-0.35999999999999943</v>
      </c>
      <c r="F31" s="5">
        <v>15.12</v>
      </c>
      <c r="G31" s="5">
        <v>14.82</v>
      </c>
      <c r="H31" s="5">
        <f t="shared" ref="H31:H35" si="20">G31-F31</f>
        <v>-0.29999999999999893</v>
      </c>
      <c r="I31" s="5">
        <v>700</v>
      </c>
      <c r="J31" s="5">
        <f t="shared" si="18"/>
        <v>10640</v>
      </c>
      <c r="K31" s="5">
        <f>E31*I31</f>
        <v>-251.9999999999996</v>
      </c>
      <c r="L31" s="5"/>
      <c r="M31" s="5"/>
      <c r="N31" s="5"/>
      <c r="O31" s="5">
        <f t="shared" ref="O31:O35" si="21">F31*I31</f>
        <v>10584</v>
      </c>
      <c r="P31" s="5">
        <f t="shared" ref="P31:P35" si="22">H31*I31</f>
        <v>-209.99999999999926</v>
      </c>
      <c r="Q31" s="5"/>
    </row>
    <row r="32" spans="1:19" x14ac:dyDescent="0.2">
      <c r="A32" s="4" t="s">
        <v>62</v>
      </c>
      <c r="B32" s="5" t="s">
        <v>63</v>
      </c>
      <c r="C32" s="5">
        <v>40.51</v>
      </c>
      <c r="D32" s="5">
        <v>37.72</v>
      </c>
      <c r="E32" s="5">
        <f t="shared" si="19"/>
        <v>-2.7899999999999991</v>
      </c>
      <c r="F32" s="5">
        <v>40.36</v>
      </c>
      <c r="G32" s="5">
        <v>37.57</v>
      </c>
      <c r="H32" s="5">
        <f t="shared" si="20"/>
        <v>-2.7899999999999991</v>
      </c>
      <c r="I32" s="5">
        <v>300</v>
      </c>
      <c r="J32" s="5">
        <f t="shared" si="18"/>
        <v>12153</v>
      </c>
      <c r="K32" s="5">
        <f>E32*I32</f>
        <v>-836.99999999999977</v>
      </c>
      <c r="L32" s="5"/>
      <c r="M32" s="5"/>
      <c r="N32" s="5"/>
      <c r="O32" s="5">
        <f t="shared" si="21"/>
        <v>12108</v>
      </c>
      <c r="P32" s="5">
        <f t="shared" si="22"/>
        <v>-836.99999999999977</v>
      </c>
      <c r="Q32" s="5"/>
    </row>
    <row r="33" spans="1:17" x14ac:dyDescent="0.2">
      <c r="A33" s="4" t="s">
        <v>26</v>
      </c>
      <c r="B33" s="5" t="s">
        <v>27</v>
      </c>
      <c r="C33" s="5">
        <v>21.6</v>
      </c>
      <c r="D33" s="5">
        <v>20.440000000000001</v>
      </c>
      <c r="E33" s="5">
        <f t="shared" si="19"/>
        <v>-1.1600000000000001</v>
      </c>
      <c r="F33" s="5">
        <v>21.56</v>
      </c>
      <c r="G33" s="5">
        <v>20.41</v>
      </c>
      <c r="H33" s="5">
        <f t="shared" si="20"/>
        <v>-1.1499999999999986</v>
      </c>
      <c r="I33" s="5">
        <v>500</v>
      </c>
      <c r="J33" s="5">
        <f t="shared" si="18"/>
        <v>10800</v>
      </c>
      <c r="K33" s="5">
        <f>E33*I33</f>
        <v>-580.00000000000011</v>
      </c>
      <c r="L33" s="5"/>
      <c r="M33" s="5"/>
      <c r="N33" s="5"/>
      <c r="O33" s="5">
        <f t="shared" si="21"/>
        <v>10780</v>
      </c>
      <c r="P33" s="5">
        <f t="shared" si="22"/>
        <v>-574.99999999999932</v>
      </c>
      <c r="Q33" s="5"/>
    </row>
    <row r="34" spans="1:17" x14ac:dyDescent="0.2">
      <c r="A34" s="4" t="s">
        <v>64</v>
      </c>
      <c r="B34" s="5" t="s">
        <v>65</v>
      </c>
      <c r="C34" s="5">
        <v>10.07</v>
      </c>
      <c r="D34" s="5">
        <v>10.45</v>
      </c>
      <c r="E34" s="5">
        <f t="shared" si="19"/>
        <v>0.37999999999999901</v>
      </c>
      <c r="F34" s="5">
        <v>10.08</v>
      </c>
      <c r="G34" s="5">
        <v>10.4</v>
      </c>
      <c r="H34" s="5">
        <f t="shared" si="20"/>
        <v>0.32000000000000028</v>
      </c>
      <c r="I34" s="5">
        <v>1100</v>
      </c>
      <c r="J34" s="5">
        <f t="shared" si="18"/>
        <v>11077</v>
      </c>
      <c r="K34" s="5">
        <f>E34*I34</f>
        <v>417.99999999999892</v>
      </c>
      <c r="L34" s="5"/>
      <c r="M34" s="5"/>
      <c r="N34" s="5"/>
      <c r="O34" s="5">
        <f t="shared" si="21"/>
        <v>11088</v>
      </c>
      <c r="P34" s="5">
        <f t="shared" si="22"/>
        <v>352.00000000000034</v>
      </c>
      <c r="Q34" s="5"/>
    </row>
    <row r="35" spans="1:17" x14ac:dyDescent="0.2">
      <c r="A35" s="4" t="s">
        <v>66</v>
      </c>
      <c r="B35" s="5" t="s">
        <v>67</v>
      </c>
      <c r="C35" s="5">
        <v>11.79</v>
      </c>
      <c r="D35" s="5">
        <v>11.9</v>
      </c>
      <c r="E35" s="5">
        <f t="shared" si="19"/>
        <v>0.11000000000000121</v>
      </c>
      <c r="F35" s="5">
        <v>11.75</v>
      </c>
      <c r="G35" s="5">
        <v>11.88</v>
      </c>
      <c r="H35" s="5">
        <f t="shared" si="20"/>
        <v>0.13000000000000078</v>
      </c>
      <c r="I35" s="5">
        <v>1000</v>
      </c>
      <c r="J35" s="5">
        <f t="shared" si="18"/>
        <v>11790</v>
      </c>
      <c r="K35" s="5">
        <f t="shared" ref="K35" si="23">E35*I35</f>
        <v>110.00000000000121</v>
      </c>
      <c r="L35" s="5"/>
      <c r="M35" s="5"/>
      <c r="N35" s="5"/>
      <c r="O35" s="5">
        <f t="shared" si="21"/>
        <v>11750</v>
      </c>
      <c r="P35" s="5">
        <f t="shared" si="22"/>
        <v>130.0000000000008</v>
      </c>
      <c r="Q35" s="5"/>
    </row>
  </sheetData>
  <sheetProtection algorithmName="SHA-512" hashValue="ZedxSQmYl01Dj7RNIHp5Fiqhuh8y5Z/kMQrKS9W2cLjchXKU3PKBiwxZlByqv8HPBHTX023v81mOThMyI32AhQ==" saltValue="Uhff6G3XS75bI7lL0qbMvQ==" spinCount="100000" sheet="1" objects="1" scenarios="1"/>
  <mergeCells count="4">
    <mergeCell ref="A1:S1"/>
    <mergeCell ref="A10:S10"/>
    <mergeCell ref="A19:S19"/>
    <mergeCell ref="A28:S28"/>
  </mergeCells>
  <phoneticPr fontId="2" type="noConversion"/>
  <hyperlinks>
    <hyperlink ref="A28" r:id="rId1" xr:uid="{263CB9B6-A7D2-4400-9638-C9984C8B95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. LEONARDO</cp:lastModifiedBy>
  <dcterms:created xsi:type="dcterms:W3CDTF">2015-06-05T18:17:00Z</dcterms:created>
  <dcterms:modified xsi:type="dcterms:W3CDTF">2026-07-26T09:50:01Z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94C63CA6BAB3475D9EE18C359DABB063_12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